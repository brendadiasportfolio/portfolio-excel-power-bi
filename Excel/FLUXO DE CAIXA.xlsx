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dalusspa-my.sharepoint.com/personal/brenda_dias_dedalus_eu/Documents/Brenda/"/>
    </mc:Choice>
  </mc:AlternateContent>
  <xr:revisionPtr revIDLastSave="340" documentId="8_{0576382C-13C8-4FEC-9A1E-76750B838570}" xr6:coauthVersionLast="47" xr6:coauthVersionMax="47" xr10:uidLastSave="{C895AC62-CE73-4BF6-A421-67DC4F3C3C11}"/>
  <bookViews>
    <workbookView xWindow="-28920" yWindow="-120" windowWidth="29040" windowHeight="15720" xr2:uid="{DE3DD080-273E-4147-8897-9D354C71B649}"/>
  </bookViews>
  <sheets>
    <sheet name="Planilha1" sheetId="1" r:id="rId1"/>
  </sheets>
  <definedNames>
    <definedName name="SegmentaçãodeDados_DATA">#N/A</definedName>
    <definedName name="SegmentaçãodeDados_DESCRIÇÃO">#N/A</definedName>
    <definedName name="SegmentaçãodeDados_TIPO">#N/A</definedName>
    <definedName name="SegmentaçãodeDados_VAL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D1" i="1" l="1"/>
</calcChain>
</file>

<file path=xl/sharedStrings.xml><?xml version="1.0" encoding="utf-8"?>
<sst xmlns="http://schemas.openxmlformats.org/spreadsheetml/2006/main" count="57" uniqueCount="30">
  <si>
    <t>DATA</t>
  </si>
  <si>
    <t>TIPO</t>
  </si>
  <si>
    <t>DESCRIÇÃO</t>
  </si>
  <si>
    <t>OBSERVAÇÃO</t>
  </si>
  <si>
    <t>SUBTOTAL</t>
  </si>
  <si>
    <t>ENTRADA</t>
  </si>
  <si>
    <t>SAÍDA</t>
  </si>
  <si>
    <t>VALOR</t>
  </si>
  <si>
    <t>PAGAMENTO DE RM MODAS</t>
  </si>
  <si>
    <t>PAGAMENTO DE FORNECEDOR</t>
  </si>
  <si>
    <t>PAGAMENTO DA RV VESTIDOS</t>
  </si>
  <si>
    <t>CONTA DE AGUA</t>
  </si>
  <si>
    <t>PAGAMENTO VESTIDO DE NOIVAS</t>
  </si>
  <si>
    <t>PAGAMENTO VETSIDOS DE MADRINHAS</t>
  </si>
  <si>
    <t>CONTA DE LUZ</t>
  </si>
  <si>
    <t>PAGAMENTO DE FUNCIONARIOS</t>
  </si>
  <si>
    <t>PAGAMENTO RM MODAS</t>
  </si>
  <si>
    <t>PAGAMENTO FORNECEDOR DE TECIDOS</t>
  </si>
  <si>
    <t>PAGAMENTO FORNECEDOR DE LINHAS</t>
  </si>
  <si>
    <t>PAGAMENTO VESTIDOS TODO DIA</t>
  </si>
  <si>
    <t>RENDIMENTOS</t>
  </si>
  <si>
    <t>PAGAMENTO FORNECEDOR DE ZIPER</t>
  </si>
  <si>
    <t>PAGAMENTO FORNEDOR DE VÉUS</t>
  </si>
  <si>
    <t>INTERNET</t>
  </si>
  <si>
    <t>PAGAMENTO QUINZENAL</t>
  </si>
  <si>
    <t>FALTA DE ESTOQUE</t>
  </si>
  <si>
    <t>PAGAMENTO MENSAL</t>
  </si>
  <si>
    <t xml:space="preserve">PAGAMENTO ATRASADO </t>
  </si>
  <si>
    <t>PAGAMENTO EXPORATICO</t>
  </si>
  <si>
    <t>EXPORATICO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</si>
</sst>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44" fontId="0" fillId="2" borderId="0" xfId="1" applyFont="1" applyFill="1"/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3" borderId="0" xfId="0" applyFont="1" applyFill="1"/>
    <xf numFmtId="44" fontId="3" fillId="3" borderId="0" xfId="1" applyFont="1" applyFill="1"/>
    <xf numFmtId="44" fontId="2" fillId="2" borderId="0" xfId="1" applyFont="1" applyFill="1"/>
    <xf numFmtId="44" fontId="2" fillId="2" borderId="0" xfId="0" applyNumberFormat="1" applyFont="1" applyFill="1"/>
  </cellXfs>
  <cellStyles count="2">
    <cellStyle name="Moeda" xfId="1" builtinId="4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B"/>
      <color rgb="FFFFB9B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4" Type="http://schemas.microsoft.com/office/2007/relationships/slicerCache" Target="slicerCaches/slicerCache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223811</xdr:colOff>
      <xdr:row>0</xdr:row>
      <xdr:rowOff>521600</xdr:rowOff>
    </xdr:from>
    <xdr:to>
      <xdr:col>6</xdr:col>
      <xdr:colOff>1141105</xdr:colOff>
      <xdr:row>1</xdr:row>
      <xdr:rowOff>709273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392AADA9-1D44-7D38-E02D-F2ECE401B6C5}"/>
            </a:ext>
          </a:extLst>
        </xdr:cNvPr>
        <xdr:cNvGrpSpPr/>
      </xdr:nvGrpSpPr>
      <xdr:grpSpPr>
        <a:xfrm>
          <a:off x="219729" y="522961"/>
          <a:ext cx="8047267" cy="897966"/>
          <a:chOff x="266844" y="703426"/>
          <a:chExt cx="8043185" cy="904769"/>
        </a:xfrm>
      </xdr:grpSpPr>
      <mc:AlternateContent xmlns:mc="http://schemas.openxmlformats.org/markup-compatibility/2006">
        <mc:Choice xmlns:sle15="http://schemas.microsoft.com/office/drawing/2012/slicer" Requires="sle15">
          <xdr:graphicFrame macro="">
            <xdr:nvGraphicFramePr>
              <xdr:cNvPr id="10" name="DESCRIÇÃO 1">
                <a:extLst>
                  <a:ext uri="{FF2B5EF4-FFF2-40B4-BE49-F238E27FC236}">
                    <a16:creationId xmlns:a16="http://schemas.microsoft.com/office/drawing/2014/main" id="{2213AA41-7D43-1272-46A2-C97EDB41BCBB}"/>
                  </a:ext>
                </a:extLst>
              </xdr:cNvPr>
              <xdr:cNvGraphicFramePr/>
            </xdr:nvGraphicFramePr>
            <xdr:xfrm>
              <a:off x="3467221" y="706901"/>
              <a:ext cx="1934945" cy="901294"/>
            </xdr:xfrm>
            <a:graphic>
              <a:graphicData uri="http://schemas.microsoft.com/office/drawing/2010/slicer">
                <sle:slicer xmlns:sle="http://schemas.microsoft.com/office/drawing/2010/slicer" name="DESCRIÇÃO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421730" y="526410"/>
                <a:ext cx="1935927" cy="89451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sle15="http://schemas.microsoft.com/office/drawing/2012/slicer" Requires="sle15">
          <xdr:graphicFrame macro="">
            <xdr:nvGraphicFramePr>
              <xdr:cNvPr id="25" name="DATA 3">
                <a:extLst>
                  <a:ext uri="{FF2B5EF4-FFF2-40B4-BE49-F238E27FC236}">
                    <a16:creationId xmlns:a16="http://schemas.microsoft.com/office/drawing/2014/main" id="{765175C2-677F-DA42-AC6F-81E4E72EA088}"/>
                  </a:ext>
                </a:extLst>
              </xdr:cNvPr>
              <xdr:cNvGraphicFramePr/>
            </xdr:nvGraphicFramePr>
            <xdr:xfrm>
              <a:off x="266844" y="703937"/>
              <a:ext cx="1709593" cy="893975"/>
            </xdr:xfrm>
            <a:graphic>
              <a:graphicData uri="http://schemas.microsoft.com/office/drawing/2010/slicer">
                <sle:slicer xmlns:sle="http://schemas.microsoft.com/office/drawing/2010/slicer" name="DATA 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19729" y="523468"/>
                <a:ext cx="1710461" cy="88725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sle15="http://schemas.microsoft.com/office/drawing/2012/slicer" Requires="sle15">
          <xdr:graphicFrame macro="">
            <xdr:nvGraphicFramePr>
              <xdr:cNvPr id="26" name="TIPO 3">
                <a:extLst>
                  <a:ext uri="{FF2B5EF4-FFF2-40B4-BE49-F238E27FC236}">
                    <a16:creationId xmlns:a16="http://schemas.microsoft.com/office/drawing/2014/main" id="{105CD5CE-586A-29CD-BAD0-9421A9FE9E16}"/>
                  </a:ext>
                </a:extLst>
              </xdr:cNvPr>
              <xdr:cNvGraphicFramePr/>
            </xdr:nvGraphicFramePr>
            <xdr:xfrm>
              <a:off x="2002625" y="703426"/>
              <a:ext cx="1439627" cy="899419"/>
            </xdr:xfrm>
            <a:graphic>
              <a:graphicData uri="http://schemas.microsoft.com/office/drawing/2010/slicer">
                <sle:slicer xmlns:sle="http://schemas.microsoft.com/office/drawing/2010/slicer" name="TIPO 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56391" y="522961"/>
                <a:ext cx="1440358" cy="89265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sle15="http://schemas.microsoft.com/office/drawing/2012/slicer" Requires="sle15">
          <xdr:graphicFrame macro="">
            <xdr:nvGraphicFramePr>
              <xdr:cNvPr id="27" name="VALOR 3">
                <a:extLst>
                  <a:ext uri="{FF2B5EF4-FFF2-40B4-BE49-F238E27FC236}">
                    <a16:creationId xmlns:a16="http://schemas.microsoft.com/office/drawing/2014/main" id="{80DCCA24-38C4-3AD6-B758-7177D816B420}"/>
                  </a:ext>
                </a:extLst>
              </xdr:cNvPr>
              <xdr:cNvGraphicFramePr/>
            </xdr:nvGraphicFramePr>
            <xdr:xfrm>
              <a:off x="5424125" y="706654"/>
              <a:ext cx="2885904" cy="901295"/>
            </xdr:xfrm>
            <a:graphic>
              <a:graphicData uri="http://schemas.microsoft.com/office/drawing/2010/slicer">
                <sle:slicer xmlns:sle="http://schemas.microsoft.com/office/drawing/2010/slicer" name="VALOR 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79627" y="526165"/>
                <a:ext cx="2887369" cy="89451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243567</xdr:colOff>
      <xdr:row>0</xdr:row>
      <xdr:rowOff>22537</xdr:rowOff>
    </xdr:from>
    <xdr:to>
      <xdr:col>2</xdr:col>
      <xdr:colOff>180464</xdr:colOff>
      <xdr:row>0</xdr:row>
      <xdr:rowOff>486286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13D5268-1B85-29B0-E374-BEF26C8F12D1}"/>
            </a:ext>
          </a:extLst>
        </xdr:cNvPr>
        <xdr:cNvGrpSpPr/>
      </xdr:nvGrpSpPr>
      <xdr:grpSpPr>
        <a:xfrm>
          <a:off x="246288" y="19816"/>
          <a:ext cx="1013053" cy="467831"/>
          <a:chOff x="3458766" y="47710"/>
          <a:chExt cx="1565160" cy="628225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790773D9-D82B-D562-7A2F-985076F100DD}"/>
              </a:ext>
            </a:extLst>
          </xdr:cNvPr>
          <xdr:cNvSpPr txBox="1"/>
        </xdr:nvSpPr>
        <xdr:spPr>
          <a:xfrm>
            <a:off x="3461572" y="47710"/>
            <a:ext cx="1560144" cy="628225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/>
              <a:t>ENTRADA</a:t>
            </a:r>
          </a:p>
        </xdr:txBody>
      </xdr:sp>
      <xdr:sp macro="" textlink="$B$1">
        <xdr:nvSpPr>
          <xdr:cNvPr id="32" name="Retângulo 31">
            <a:extLst>
              <a:ext uri="{FF2B5EF4-FFF2-40B4-BE49-F238E27FC236}">
                <a16:creationId xmlns:a16="http://schemas.microsoft.com/office/drawing/2014/main" id="{85E50441-919B-F2D2-B539-404F017B0DA5}"/>
              </a:ext>
            </a:extLst>
          </xdr:cNvPr>
          <xdr:cNvSpPr/>
        </xdr:nvSpPr>
        <xdr:spPr>
          <a:xfrm>
            <a:off x="3458766" y="277926"/>
            <a:ext cx="1565160" cy="398009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F11586CA-1A0A-4562-A00E-132A7797FCF0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 R$ 6.587,00 </a:t>
            </a:fld>
            <a:endParaRPr lang="pt-BR" sz="1100"/>
          </a:p>
        </xdr:txBody>
      </xdr:sp>
    </xdr:grpSp>
    <xdr:clientData/>
  </xdr:twoCellAnchor>
  <xdr:twoCellAnchor>
    <xdr:from>
      <xdr:col>2</xdr:col>
      <xdr:colOff>314665</xdr:colOff>
      <xdr:row>0</xdr:row>
      <xdr:rowOff>10037</xdr:rowOff>
    </xdr:from>
    <xdr:to>
      <xdr:col>3</xdr:col>
      <xdr:colOff>458389</xdr:colOff>
      <xdr:row>0</xdr:row>
      <xdr:rowOff>494109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B71AEDC-6385-40B9-0CF8-80CFBFCC03E3}"/>
            </a:ext>
          </a:extLst>
        </xdr:cNvPr>
        <xdr:cNvGrpSpPr/>
      </xdr:nvGrpSpPr>
      <xdr:grpSpPr>
        <a:xfrm>
          <a:off x="1390820" y="8676"/>
          <a:ext cx="966616" cy="485433"/>
          <a:chOff x="5105571" y="59532"/>
          <a:chExt cx="1508356" cy="614533"/>
        </a:xfrm>
      </xdr:grpSpPr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8A487D3B-245F-4B89-A071-B6FB3ECFC7A5}"/>
              </a:ext>
            </a:extLst>
          </xdr:cNvPr>
          <xdr:cNvSpPr txBox="1"/>
        </xdr:nvSpPr>
        <xdr:spPr>
          <a:xfrm>
            <a:off x="5105571" y="59532"/>
            <a:ext cx="1508356" cy="614533"/>
          </a:xfrm>
          <a:prstGeom prst="rect">
            <a:avLst/>
          </a:prstGeom>
          <a:solidFill>
            <a:srgbClr val="FFB9B9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/>
              <a:t>SAÍDA</a:t>
            </a:r>
          </a:p>
        </xdr:txBody>
      </xdr:sp>
      <xdr:sp macro="" textlink="$C$1">
        <xdr:nvSpPr>
          <xdr:cNvPr id="33" name="Retângulo 32">
            <a:extLst>
              <a:ext uri="{FF2B5EF4-FFF2-40B4-BE49-F238E27FC236}">
                <a16:creationId xmlns:a16="http://schemas.microsoft.com/office/drawing/2014/main" id="{DFF5E62D-63FE-4C9E-A879-015AE7075C97}"/>
              </a:ext>
            </a:extLst>
          </xdr:cNvPr>
          <xdr:cNvSpPr/>
        </xdr:nvSpPr>
        <xdr:spPr>
          <a:xfrm>
            <a:off x="5109647" y="259266"/>
            <a:ext cx="1502404" cy="40929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1C11D8A8-407B-45F9-8C73-442E03F70D57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 R$ 3.658,00 </a:t>
            </a:fld>
            <a:endParaRPr lang="pt-BR" sz="1100"/>
          </a:p>
        </xdr:txBody>
      </xdr:sp>
    </xdr:grpSp>
    <xdr:clientData/>
  </xdr:twoCellAnchor>
  <xdr:twoCellAnchor>
    <xdr:from>
      <xdr:col>3</xdr:col>
      <xdr:colOff>562313</xdr:colOff>
      <xdr:row>0</xdr:row>
      <xdr:rowOff>10869</xdr:rowOff>
    </xdr:from>
    <xdr:to>
      <xdr:col>4</xdr:col>
      <xdr:colOff>696515</xdr:colOff>
      <xdr:row>0</xdr:row>
      <xdr:rowOff>486796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0BCCB241-0975-2AC4-FDD2-9740CEB75829}"/>
            </a:ext>
          </a:extLst>
        </xdr:cNvPr>
        <xdr:cNvGrpSpPr/>
      </xdr:nvGrpSpPr>
      <xdr:grpSpPr>
        <a:xfrm>
          <a:off x="2462721" y="9508"/>
          <a:ext cx="1101839" cy="478649"/>
          <a:chOff x="2461360" y="10869"/>
          <a:chExt cx="1104561" cy="475927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669E109C-DA34-408A-A8A4-5017C8F5F3CD}"/>
              </a:ext>
            </a:extLst>
          </xdr:cNvPr>
          <xdr:cNvSpPr txBox="1"/>
        </xdr:nvSpPr>
        <xdr:spPr>
          <a:xfrm>
            <a:off x="2461360" y="10869"/>
            <a:ext cx="1103661" cy="475927"/>
          </a:xfrm>
          <a:prstGeom prst="rect">
            <a:avLst/>
          </a:prstGeom>
          <a:solidFill>
            <a:srgbClr val="FFFF9B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/>
              <a:t>SALDO</a:t>
            </a:r>
          </a:p>
        </xdr:txBody>
      </xdr:sp>
      <xdr:sp macro="" textlink="$D$1">
        <xdr:nvSpPr>
          <xdr:cNvPr id="36" name="Retângulo 35">
            <a:extLst>
              <a:ext uri="{FF2B5EF4-FFF2-40B4-BE49-F238E27FC236}">
                <a16:creationId xmlns:a16="http://schemas.microsoft.com/office/drawing/2014/main" id="{C1A29625-F190-4EED-8049-884168D2D58A}"/>
              </a:ext>
            </a:extLst>
          </xdr:cNvPr>
          <xdr:cNvSpPr/>
        </xdr:nvSpPr>
        <xdr:spPr>
          <a:xfrm>
            <a:off x="2463450" y="200535"/>
            <a:ext cx="1102471" cy="268100"/>
          </a:xfrm>
          <a:prstGeom prst="rect">
            <a:avLst/>
          </a:prstGeom>
          <a:solidFill>
            <a:srgbClr val="FFFF9B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32793499-4298-464D-AF6C-AD0B3D1EE0D5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 R$ 2.929,00 </a:t>
            </a:fld>
            <a:endParaRPr lang="pt-BR" sz="1100"/>
          </a:p>
        </xdr:txBody>
      </xdr:sp>
    </xdr:grp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E9353E8F-D8C1-4B69-B29C-20F75804B718}" sourceName="DAT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A6C46612-E639-4935-AE30-15FF3FBA3491}" sourceName="TIP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ALOR" xr10:uid="{2934FC50-3448-41C3-B493-CACD95793FDD}" sourceName="VALOR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" xr10:uid="{02B4F0FD-3950-4E70-BEEA-E1FA9EBCDDEF}" sourceName="DESCRIÇÃO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3" xr10:uid="{9DEACAA4-DF4C-4817-8368-B65CF07CBCC0}" cache="SegmentaçãodeDados_DATA" caption="DATA" style="SlicerStyleLight2" rowHeight="254906"/>
  <slicer name="TIPO 3" xr10:uid="{1683E4B4-4780-4529-B23F-F596D9791C0D}" cache="SegmentaçãodeDados_TIPO" caption="TIPO" style="SlicerStyleLight2" rowHeight="254906"/>
  <slicer name="VALOR 3" xr10:uid="{000A1B93-435D-44F7-84BC-F59B53717D06}" cache="SegmentaçãodeDados_VALOR" caption="VALOR" columnCount="3" style="SlicerStyleLight2" rowHeight="254906"/>
  <slicer name="DESCRIÇÃO 1" xr10:uid="{2F5A58FA-F916-4882-BDE5-BCC27661109C}" cache="SegmentaçãodeDados_DESCRIÇÃO" caption="DESCRIÇÃO" style="SlicerStyleLight2" rowHeight="25490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D7641-4292-4C74-BE6D-A75480504291}" name="Tabela1" displayName="Tabela1" ref="B3:G20" totalsRowShown="0" headerRowDxfId="0" dataDxfId="6">
  <autoFilter ref="B3:G20" xr:uid="{5A8D7641-4292-4C74-BE6D-A75480504291}"/>
  <tableColumns count="6">
    <tableColumn id="1" xr3:uid="{E6D68496-B9D3-4DA6-AA51-6AA22747C623}" name="DATA" dataDxfId="9"/>
    <tableColumn id="2" xr3:uid="{745DA9C0-6F99-4B4B-AF7A-7AD18C5C1728}" name="TIPO" dataDxfId="8"/>
    <tableColumn id="3" xr3:uid="{2A80233E-903B-4834-B4F6-7F68B9B0C670}" name="VALOR" dataDxfId="5" dataCellStyle="Moeda"/>
    <tableColumn id="4" xr3:uid="{7D7A87F0-DC63-459A-A968-027C349B716D}" name="DESCRIÇÃO" dataDxfId="3"/>
    <tableColumn id="5" xr3:uid="{13123392-CC9D-4229-A23A-1F517014820D}" name="OBSERVAÇÃO" dataDxfId="4"/>
    <tableColumn id="6" xr3:uid="{0538F065-9CBD-4C6F-ADF6-87E3AB85E093}" name="SUBTOTAL" dataDxfId="7" dataCellStyle="Moeda">
      <calculatedColumnFormula>IF(C4="ENTRADA",SUM(G3,D4),SUM(G3,-D4))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EBE-462E-468D-997D-B26637F8FA84}">
  <dimension ref="B1:G20"/>
  <sheetViews>
    <sheetView tabSelected="1" zoomScale="160" zoomScaleNormal="160" workbookViewId="0">
      <selection activeCell="I7" sqref="I7"/>
    </sheetView>
  </sheetViews>
  <sheetFormatPr defaultRowHeight="14.6" x14ac:dyDescent="0.4"/>
  <cols>
    <col min="1" max="1" width="3.69140625" style="1" customWidth="1"/>
    <col min="2" max="3" width="11.61328125" style="1" bestFit="1" customWidth="1"/>
    <col min="4" max="4" width="13.69140625" style="1" bestFit="1" customWidth="1"/>
    <col min="5" max="5" width="37.69140625" style="1" customWidth="1"/>
    <col min="6" max="6" width="22.53515625" style="1" customWidth="1"/>
    <col min="7" max="7" width="16.61328125" style="2" customWidth="1"/>
    <col min="8" max="16384" width="9.23046875" style="1"/>
  </cols>
  <sheetData>
    <row r="1" spans="2:7" ht="56.15" customHeight="1" x14ac:dyDescent="0.4">
      <c r="B1" s="9">
        <f>SUMIF(Tabela1[[#All],[TIPO]],"ENTRADA",Tabela1[[#All],[VALOR]])</f>
        <v>6587</v>
      </c>
      <c r="C1" s="9">
        <f>SUMIF(Tabela1[[#All],[TIPO]],"SAÍDA",Tabela1[[#All],[VALOR]])</f>
        <v>3658</v>
      </c>
      <c r="D1" s="10">
        <f>B1-C1</f>
        <v>2929</v>
      </c>
    </row>
    <row r="2" spans="2:7" ht="62.6" customHeight="1" x14ac:dyDescent="0.4"/>
    <row r="3" spans="2:7" ht="15.9" x14ac:dyDescent="0.45">
      <c r="B3" s="7" t="s">
        <v>0</v>
      </c>
      <c r="C3" s="7" t="s">
        <v>1</v>
      </c>
      <c r="D3" s="7" t="s">
        <v>7</v>
      </c>
      <c r="E3" s="7" t="s">
        <v>2</v>
      </c>
      <c r="F3" s="7" t="s">
        <v>3</v>
      </c>
      <c r="G3" s="8" t="s">
        <v>4</v>
      </c>
    </row>
    <row r="4" spans="2:7" x14ac:dyDescent="0.4">
      <c r="B4" s="3">
        <v>44927</v>
      </c>
      <c r="C4" s="4" t="s">
        <v>5</v>
      </c>
      <c r="D4" s="5">
        <v>1000</v>
      </c>
      <c r="E4" s="6" t="s">
        <v>8</v>
      </c>
      <c r="F4" s="4" t="s">
        <v>24</v>
      </c>
      <c r="G4" s="5">
        <f>IF(C4="ENTRADA",SUM(G3,D4),SUM(G3,-D4))</f>
        <v>1000</v>
      </c>
    </row>
    <row r="5" spans="2:7" x14ac:dyDescent="0.4">
      <c r="B5" s="3">
        <v>44927</v>
      </c>
      <c r="C5" s="4" t="s">
        <v>6</v>
      </c>
      <c r="D5" s="5">
        <v>350</v>
      </c>
      <c r="E5" s="6" t="s">
        <v>9</v>
      </c>
      <c r="F5" s="4" t="s">
        <v>25</v>
      </c>
      <c r="G5" s="5">
        <f t="shared" ref="G5:G20" si="0">IF(C5="ENTRADA",SUM(G4,D5),SUM(G4,-D5))</f>
        <v>650</v>
      </c>
    </row>
    <row r="6" spans="2:7" x14ac:dyDescent="0.4">
      <c r="B6" s="3">
        <v>44927</v>
      </c>
      <c r="C6" s="4" t="s">
        <v>5</v>
      </c>
      <c r="D6" s="5">
        <v>3000</v>
      </c>
      <c r="E6" s="6" t="s">
        <v>10</v>
      </c>
      <c r="F6" s="4" t="s">
        <v>26</v>
      </c>
      <c r="G6" s="5">
        <f t="shared" si="0"/>
        <v>3650</v>
      </c>
    </row>
    <row r="7" spans="2:7" x14ac:dyDescent="0.4">
      <c r="B7" s="3">
        <v>44927</v>
      </c>
      <c r="C7" s="4" t="s">
        <v>6</v>
      </c>
      <c r="D7" s="5">
        <v>150</v>
      </c>
      <c r="E7" s="6" t="s">
        <v>11</v>
      </c>
      <c r="F7" s="4" t="s">
        <v>26</v>
      </c>
      <c r="G7" s="5">
        <f t="shared" si="0"/>
        <v>3500</v>
      </c>
    </row>
    <row r="8" spans="2:7" x14ac:dyDescent="0.4">
      <c r="B8" s="3">
        <v>44927</v>
      </c>
      <c r="C8" s="4" t="s">
        <v>5</v>
      </c>
      <c r="D8" s="5">
        <v>500</v>
      </c>
      <c r="E8" s="6" t="s">
        <v>12</v>
      </c>
      <c r="F8" s="4" t="s">
        <v>27</v>
      </c>
      <c r="G8" s="5">
        <f t="shared" si="0"/>
        <v>4000</v>
      </c>
    </row>
    <row r="9" spans="2:7" x14ac:dyDescent="0.4">
      <c r="B9" s="3">
        <v>44927</v>
      </c>
      <c r="C9" s="4" t="s">
        <v>5</v>
      </c>
      <c r="D9" s="5">
        <v>260</v>
      </c>
      <c r="E9" s="6" t="s">
        <v>13</v>
      </c>
      <c r="F9" s="4" t="s">
        <v>26</v>
      </c>
      <c r="G9" s="5">
        <f t="shared" si="0"/>
        <v>4260</v>
      </c>
    </row>
    <row r="10" spans="2:7" x14ac:dyDescent="0.4">
      <c r="B10" s="3">
        <v>44927</v>
      </c>
      <c r="C10" s="4" t="s">
        <v>5</v>
      </c>
      <c r="D10" s="5">
        <v>258</v>
      </c>
      <c r="E10" s="6" t="s">
        <v>14</v>
      </c>
      <c r="F10" s="4" t="s">
        <v>26</v>
      </c>
      <c r="G10" s="5">
        <f t="shared" si="0"/>
        <v>4518</v>
      </c>
    </row>
    <row r="11" spans="2:7" x14ac:dyDescent="0.4">
      <c r="B11" s="3">
        <v>44928</v>
      </c>
      <c r="C11" s="4" t="s">
        <v>6</v>
      </c>
      <c r="D11" s="5">
        <v>951</v>
      </c>
      <c r="E11" s="6" t="s">
        <v>15</v>
      </c>
      <c r="F11" s="4" t="s">
        <v>26</v>
      </c>
      <c r="G11" s="5">
        <f t="shared" si="0"/>
        <v>3567</v>
      </c>
    </row>
    <row r="12" spans="2:7" x14ac:dyDescent="0.4">
      <c r="B12" s="3">
        <v>44929</v>
      </c>
      <c r="C12" s="4" t="s">
        <v>5</v>
      </c>
      <c r="D12" s="5">
        <v>369</v>
      </c>
      <c r="E12" s="6" t="s">
        <v>12</v>
      </c>
      <c r="F12" s="4" t="s">
        <v>24</v>
      </c>
      <c r="G12" s="5">
        <f t="shared" si="0"/>
        <v>3936</v>
      </c>
    </row>
    <row r="13" spans="2:7" x14ac:dyDescent="0.4">
      <c r="B13" s="3">
        <v>44930</v>
      </c>
      <c r="C13" s="4" t="s">
        <v>5</v>
      </c>
      <c r="D13" s="5">
        <v>147</v>
      </c>
      <c r="E13" s="6" t="s">
        <v>16</v>
      </c>
      <c r="F13" s="4" t="s">
        <v>28</v>
      </c>
      <c r="G13" s="5">
        <f t="shared" si="0"/>
        <v>4083</v>
      </c>
    </row>
    <row r="14" spans="2:7" x14ac:dyDescent="0.4">
      <c r="B14" s="3">
        <v>44931</v>
      </c>
      <c r="C14" s="4" t="s">
        <v>6</v>
      </c>
      <c r="D14" s="5">
        <v>357</v>
      </c>
      <c r="E14" s="6" t="s">
        <v>17</v>
      </c>
      <c r="F14" s="4" t="s">
        <v>26</v>
      </c>
      <c r="G14" s="5">
        <f t="shared" si="0"/>
        <v>3726</v>
      </c>
    </row>
    <row r="15" spans="2:7" x14ac:dyDescent="0.4">
      <c r="B15" s="3">
        <v>44932</v>
      </c>
      <c r="C15" s="4" t="s">
        <v>6</v>
      </c>
      <c r="D15" s="5">
        <v>423</v>
      </c>
      <c r="E15" s="6" t="s">
        <v>18</v>
      </c>
      <c r="F15" s="4" t="s">
        <v>26</v>
      </c>
      <c r="G15" s="5">
        <f t="shared" si="0"/>
        <v>3303</v>
      </c>
    </row>
    <row r="16" spans="2:7" x14ac:dyDescent="0.4">
      <c r="B16" s="3">
        <v>44928</v>
      </c>
      <c r="C16" s="4" t="s">
        <v>5</v>
      </c>
      <c r="D16" s="5">
        <v>358</v>
      </c>
      <c r="E16" s="6" t="s">
        <v>19</v>
      </c>
      <c r="F16" s="4" t="s">
        <v>24</v>
      </c>
      <c r="G16" s="5">
        <f t="shared" si="0"/>
        <v>3661</v>
      </c>
    </row>
    <row r="17" spans="2:7" x14ac:dyDescent="0.4">
      <c r="B17" s="3">
        <v>44928</v>
      </c>
      <c r="C17" s="4" t="s">
        <v>5</v>
      </c>
      <c r="D17" s="5">
        <v>695</v>
      </c>
      <c r="E17" s="6" t="s">
        <v>20</v>
      </c>
      <c r="F17" s="4" t="s">
        <v>29</v>
      </c>
      <c r="G17" s="5">
        <f t="shared" si="0"/>
        <v>4356</v>
      </c>
    </row>
    <row r="18" spans="2:7" x14ac:dyDescent="0.4">
      <c r="B18" s="3">
        <v>44929</v>
      </c>
      <c r="C18" s="4" t="s">
        <v>6</v>
      </c>
      <c r="D18" s="5">
        <v>457</v>
      </c>
      <c r="E18" s="6" t="s">
        <v>21</v>
      </c>
      <c r="F18" s="4" t="s">
        <v>24</v>
      </c>
      <c r="G18" s="5">
        <f t="shared" si="0"/>
        <v>3899</v>
      </c>
    </row>
    <row r="19" spans="2:7" x14ac:dyDescent="0.4">
      <c r="B19" s="3">
        <v>44930</v>
      </c>
      <c r="C19" s="4" t="s">
        <v>6</v>
      </c>
      <c r="D19" s="5">
        <v>845</v>
      </c>
      <c r="E19" s="6" t="s">
        <v>22</v>
      </c>
      <c r="F19" s="4" t="s">
        <v>26</v>
      </c>
      <c r="G19" s="5">
        <f t="shared" si="0"/>
        <v>3054</v>
      </c>
    </row>
    <row r="20" spans="2:7" x14ac:dyDescent="0.4">
      <c r="B20" s="3">
        <v>44931</v>
      </c>
      <c r="C20" s="4" t="s">
        <v>6</v>
      </c>
      <c r="D20" s="5">
        <v>125</v>
      </c>
      <c r="E20" s="6" t="s">
        <v>23</v>
      </c>
      <c r="F20" s="4" t="s">
        <v>26</v>
      </c>
      <c r="G20" s="5">
        <f t="shared" si="0"/>
        <v>2929</v>
      </c>
    </row>
  </sheetData>
  <conditionalFormatting sqref="C4:C20">
    <cfRule type="containsText" dxfId="2" priority="2" operator="containsText" text="Entrada">
      <formula>NOT(ISERROR(SEARCH("Entrada",C4)))</formula>
    </cfRule>
    <cfRule type="containsText" dxfId="1" priority="1" operator="containsText" text="SAÍDA">
      <formula>NOT(ISERROR(SEARCH("SAÍDA",C4)))</formula>
    </cfRule>
  </conditionalFormatting>
  <dataValidations count="1">
    <dataValidation type="list" allowBlank="1" showInputMessage="1" showErrorMessage="1" sqref="C4:C20" xr:uid="{66E4F9F0-9A2D-451C-B31D-FCA2BA560B9D}">
      <formula1>"ENTRADA, SAÍDA"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Dias</dc:creator>
  <cp:lastModifiedBy>Brenda Dias</cp:lastModifiedBy>
  <dcterms:created xsi:type="dcterms:W3CDTF">2026-08-17T17:33:07Z</dcterms:created>
  <dcterms:modified xsi:type="dcterms:W3CDTF">2026-08-18T13:35:32Z</dcterms:modified>
</cp:coreProperties>
</file>